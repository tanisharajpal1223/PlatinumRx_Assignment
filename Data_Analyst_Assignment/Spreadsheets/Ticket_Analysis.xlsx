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 " sheetId="2" r:id="rId6"/>
  </sheets>
  <definedNames/>
  <calcPr/>
</workbook>
</file>

<file path=xl/sharedStrings.xml><?xml version="1.0" encoding="utf-8"?>
<sst xmlns="http://schemas.openxmlformats.org/spreadsheetml/2006/main" count="46" uniqueCount="30">
  <si>
    <t>ticket_id</t>
  </si>
  <si>
    <t>created_at</t>
  </si>
  <si>
    <t>closed_at</t>
  </si>
  <si>
    <t>outlet_id</t>
  </si>
  <si>
    <t>cms_id</t>
  </si>
  <si>
    <t>Same Day</t>
  </si>
  <si>
    <t>Same Hour</t>
  </si>
  <si>
    <t>isu-sjd-457</t>
  </si>
  <si>
    <t>wrqy-juv-978</t>
  </si>
  <si>
    <t>vew-iuvd-12</t>
  </si>
  <si>
    <t>qer-fal-092</t>
  </si>
  <si>
    <t>cms-234-ab</t>
  </si>
  <si>
    <t>xzy-klo-765</t>
  </si>
  <si>
    <t>8woh-k3u-23b</t>
  </si>
  <si>
    <t>cms-876-gh</t>
  </si>
  <si>
    <t>lmn-pqr-333</t>
  </si>
  <si>
    <t>cms-555-rt</t>
  </si>
  <si>
    <t>abc-def-111</t>
  </si>
  <si>
    <t>cms-999-xy</t>
  </si>
  <si>
    <t>ghi-jkl-222</t>
  </si>
  <si>
    <t>poi-uyt-567</t>
  </si>
  <si>
    <t>cms-741-za</t>
  </si>
  <si>
    <t>uvw-xyz-888</t>
  </si>
  <si>
    <t>cms-852-bn</t>
  </si>
  <si>
    <t>TABLE</t>
  </si>
  <si>
    <t>Same Day Count</t>
  </si>
  <si>
    <t>Same Hour Count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</si>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</sst>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164" xfId="0" applyFont="1" applyNumberFormat="1"/>
    <xf borderId="0" fillId="0" fontId="4" numFmtId="164" xfId="0" applyAlignment="1" applyFont="1" applyNumberForma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0" fillId="3" fontId="2" numFmtId="0" xfId="0" applyFont="1"/>
    <xf borderId="0" fillId="3" fontId="4" numFmtId="0" xfId="0" applyAlignment="1" applyFont="1">
      <alignment readingOrder="0"/>
    </xf>
    <xf borderId="0" fillId="3" fontId="2" numFmtId="0" xfId="0" applyFont="1"/>
    <xf borderId="0" fillId="3" fontId="4" numFmtId="0" xfId="0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3" width="18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</row>
    <row r="2">
      <c r="A2" s="5" t="s">
        <v>7</v>
      </c>
      <c r="B2" s="6">
        <v>44427.69841435185</v>
      </c>
      <c r="C2" s="7">
        <v>44430.52328703704</v>
      </c>
      <c r="D2" s="5" t="s">
        <v>8</v>
      </c>
      <c r="E2" s="5" t="s">
        <v>9</v>
      </c>
      <c r="F2" s="8" t="b">
        <f t="shared" ref="F2:F8" si="1">LEFT(B2,10)=LEFT(C2,10)</f>
        <v>0</v>
      </c>
      <c r="G2" s="8" t="b">
        <f t="shared" ref="G2:G8" si="2">AND(LEFT(B2,10)=LEFT(C2,10), MID(B2,12,2)=MID(C2,12,2))</f>
        <v>0</v>
      </c>
    </row>
    <row r="3">
      <c r="A3" s="5" t="s">
        <v>10</v>
      </c>
      <c r="B3" s="6">
        <v>44429.464837962965</v>
      </c>
      <c r="C3" s="7">
        <v>44429.717881944445</v>
      </c>
      <c r="D3" s="5" t="s">
        <v>8</v>
      </c>
      <c r="E3" s="5" t="s">
        <v>11</v>
      </c>
      <c r="F3" s="8" t="b">
        <f t="shared" si="1"/>
        <v>1</v>
      </c>
      <c r="G3" s="8" t="b">
        <f t="shared" si="2"/>
        <v>0</v>
      </c>
    </row>
    <row r="4">
      <c r="A4" s="5" t="s">
        <v>12</v>
      </c>
      <c r="B4" s="6">
        <v>44429.416666666664</v>
      </c>
      <c r="C4" s="7">
        <v>44429.447916666664</v>
      </c>
      <c r="D4" s="5" t="s">
        <v>13</v>
      </c>
      <c r="E4" s="5" t="s">
        <v>14</v>
      </c>
      <c r="F4" s="8" t="b">
        <f t="shared" si="1"/>
        <v>1</v>
      </c>
      <c r="G4" s="8" t="b">
        <f t="shared" si="2"/>
        <v>1</v>
      </c>
    </row>
    <row r="5">
      <c r="A5" s="5" t="s">
        <v>15</v>
      </c>
      <c r="B5" s="6">
        <v>44430.385416666664</v>
      </c>
      <c r="C5" s="7">
        <v>44430.75</v>
      </c>
      <c r="D5" s="5" t="s">
        <v>13</v>
      </c>
      <c r="E5" s="5" t="s">
        <v>16</v>
      </c>
      <c r="F5" s="8" t="b">
        <f t="shared" si="1"/>
        <v>1</v>
      </c>
      <c r="G5" s="8" t="b">
        <f t="shared" si="2"/>
        <v>0</v>
      </c>
    </row>
    <row r="6">
      <c r="A6" s="5" t="s">
        <v>17</v>
      </c>
      <c r="B6" s="6">
        <v>44431.583333333336</v>
      </c>
      <c r="C6" s="7">
        <v>44431.59722222222</v>
      </c>
      <c r="D6" s="5" t="s">
        <v>8</v>
      </c>
      <c r="E6" s="5" t="s">
        <v>18</v>
      </c>
      <c r="F6" s="8" t="b">
        <f t="shared" si="1"/>
        <v>1</v>
      </c>
      <c r="G6" s="8" t="b">
        <f t="shared" si="2"/>
        <v>1</v>
      </c>
    </row>
    <row r="7">
      <c r="A7" s="5" t="s">
        <v>19</v>
      </c>
      <c r="B7" s="6">
        <v>44431.333333333336</v>
      </c>
      <c r="C7" s="7">
        <v>44432.375</v>
      </c>
      <c r="D7" s="5" t="s">
        <v>20</v>
      </c>
      <c r="E7" s="5" t="s">
        <v>21</v>
      </c>
      <c r="F7" s="8" t="b">
        <f t="shared" si="1"/>
        <v>0</v>
      </c>
      <c r="G7" s="8" t="b">
        <f t="shared" si="2"/>
        <v>0</v>
      </c>
    </row>
    <row r="8">
      <c r="A8" s="5" t="s">
        <v>22</v>
      </c>
      <c r="B8" s="6">
        <v>44432.4375</v>
      </c>
      <c r="C8" s="7">
        <v>44432.447916666664</v>
      </c>
      <c r="D8" s="5" t="s">
        <v>20</v>
      </c>
      <c r="E8" s="5" t="s">
        <v>23</v>
      </c>
      <c r="F8" s="8" t="b">
        <f t="shared" si="1"/>
        <v>1</v>
      </c>
      <c r="G8" s="8" t="b">
        <f t="shared" si="2"/>
        <v>1</v>
      </c>
    </row>
    <row r="17">
      <c r="A17" s="9" t="s">
        <v>24</v>
      </c>
    </row>
    <row r="19">
      <c r="A19" s="10" t="s">
        <v>3</v>
      </c>
      <c r="B19" s="11" t="s">
        <v>25</v>
      </c>
      <c r="C19" s="10" t="s">
        <v>26</v>
      </c>
    </row>
    <row r="20">
      <c r="A20" s="12" t="s">
        <v>8</v>
      </c>
      <c r="B20" s="13">
        <f>COUNTIFS(D:D,"wrqy-juv-978",F:F,TRUE)</f>
        <v>2</v>
      </c>
      <c r="C20" s="14">
        <f>COUNTIFS(D:D,"wrqy-juv-978",G:G,TRUE)</f>
        <v>1</v>
      </c>
    </row>
    <row r="21">
      <c r="A21" s="12" t="s">
        <v>13</v>
      </c>
      <c r="B21" s="13">
        <f>COUNTIFS(D:D,"8woh-k3u-23b",F:F,TRUE)</f>
        <v>2</v>
      </c>
      <c r="C21" s="14">
        <f>COUNTIFS(D:D,"8woh-k3u-23b",G:G,TRUE)</f>
        <v>1</v>
      </c>
    </row>
    <row r="22">
      <c r="A22" s="12" t="s">
        <v>20</v>
      </c>
      <c r="B22" s="13">
        <f>COUNTIFS(D:D,"poi-uyt-567",F:F,TRUE)</f>
        <v>1</v>
      </c>
      <c r="C22" s="13">
        <f>COUNTIFS(D:D,"poi-uyt-567",G:G,TRUE)</f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5.38"/>
    <col customWidth="1" min="4" max="4" width="17.13"/>
  </cols>
  <sheetData>
    <row r="1">
      <c r="A1" s="1" t="s">
        <v>4</v>
      </c>
      <c r="B1" s="1" t="s">
        <v>27</v>
      </c>
      <c r="C1" s="1" t="s">
        <v>28</v>
      </c>
      <c r="D1" s="1" t="s">
        <v>29</v>
      </c>
    </row>
    <row r="2">
      <c r="A2" s="5" t="s">
        <v>9</v>
      </c>
      <c r="B2" s="7">
        <v>44429.560277777775</v>
      </c>
      <c r="C2" s="5">
        <v>3.0</v>
      </c>
      <c r="D2" s="15">
        <f t="array" ref="D2">INDEX(Ticket!B:B, MATCH(TRIM(A2), Ticket!E:E, 0))</f>
        <v>44427.69841</v>
      </c>
    </row>
    <row r="3">
      <c r="A3" s="5" t="s">
        <v>11</v>
      </c>
      <c r="B3" s="7">
        <v>44430.416666666664</v>
      </c>
      <c r="C3" s="5">
        <v>4.0</v>
      </c>
      <c r="D3" s="15">
        <f t="array" ref="D3">INDEX(Ticket!B:B, MATCH(TRIM(A3), Ticket!E:E, 0))</f>
        <v>44429.46484</v>
      </c>
    </row>
    <row r="4">
      <c r="A4" s="5" t="s">
        <v>14</v>
      </c>
      <c r="B4" s="7">
        <v>44430.458333333336</v>
      </c>
      <c r="C4" s="5">
        <v>5.0</v>
      </c>
      <c r="D4" s="15">
        <f t="array" ref="D4">INDEX(Ticket!B:B, MATCH(TRIM(A4), Ticket!E:E, 0))</f>
        <v>44429.41667</v>
      </c>
    </row>
    <row r="5">
      <c r="A5" s="5" t="s">
        <v>16</v>
      </c>
      <c r="B5" s="7">
        <v>44431.375</v>
      </c>
      <c r="C5" s="5">
        <v>2.0</v>
      </c>
      <c r="D5" s="15">
        <f t="array" ref="D5">INDEX(Ticket!B:B, MATCH(TRIM(A5), Ticket!E:E, 0))</f>
        <v>44430.38542</v>
      </c>
    </row>
    <row r="6">
      <c r="A6" s="5" t="s">
        <v>18</v>
      </c>
      <c r="B6" s="7">
        <v>44431.625</v>
      </c>
      <c r="C6" s="5">
        <v>4.0</v>
      </c>
      <c r="D6" s="15">
        <f t="array" ref="D6">INDEX(Ticket!B:B, MATCH(TRIM(A6), Ticket!E:E, 0))</f>
        <v>44431.58333</v>
      </c>
    </row>
    <row r="7">
      <c r="A7" s="5" t="s">
        <v>21</v>
      </c>
      <c r="B7" s="7">
        <v>44432.416666666664</v>
      </c>
      <c r="C7" s="5">
        <v>3.0</v>
      </c>
      <c r="D7" s="15">
        <f t="array" ref="D7">INDEX(Ticket!B:B, MATCH(TRIM(A7), Ticket!E:E, 0))</f>
        <v>44431.33333</v>
      </c>
    </row>
    <row r="8">
      <c r="A8" s="5" t="s">
        <v>23</v>
      </c>
      <c r="B8" s="7">
        <v>44432.458333333336</v>
      </c>
      <c r="C8" s="5">
        <v>5.0</v>
      </c>
      <c r="D8" s="15">
        <f t="array" ref="D8">INDEX(Ticket!B:B, MATCH(TRIM(A8), Ticket!E:E, 0))</f>
        <v>44432.4375</v>
      </c>
    </row>
  </sheetData>
  <drawing r:id="rId1"/>
</worksheet>
</file>